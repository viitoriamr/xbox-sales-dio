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tória Mesquita\Downloads\Cursos\DIO\"/>
    </mc:Choice>
  </mc:AlternateContent>
  <xr:revisionPtr revIDLastSave="0" documentId="13_ncr:1_{9DA54B3C-D8BB-41DC-8A6B-668F4C6666AE}" xr6:coauthVersionLast="47" xr6:coauthVersionMax="47" xr10:uidLastSave="{00000000-0000-0000-0000-000000000000}"/>
  <bookViews>
    <workbookView showSheetTabs="0" xWindow="-108" yWindow="-108" windowWidth="23256" windowHeight="1245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" i="3" l="1"/>
  <c r="E21" i="3"/>
</calcChain>
</file>

<file path=xl/sharedStrings.xml><?xml version="1.0" encoding="utf-8"?>
<sst xmlns="http://schemas.openxmlformats.org/spreadsheetml/2006/main" count="2018" uniqueCount="320">
  <si>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</si>
  <si>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</si>
  <si>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</si>
  <si>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</si>
  <si>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</si>
  <si>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</si>
  <si>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</si>
  <si>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</si>
  <si>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</si>
  <si>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</si>
  <si>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</si>
  <si>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</si>
  <si>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</si>
  <si>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</si>
  <si>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</si>
  <si>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</si>
  <si>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</si>
  <si>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</si>
  <si>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</si>
  <si>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</si>
  <si>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</si>
  <si>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</si>
  <si>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</si>
  <si>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</si>
  <si>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</si>
  <si>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</si>
  <si>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</si>
  <si>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</si>
  <si>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</si>
  <si>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</si>
  <si>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</si>
  <si>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</si>
  <si>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</si>
  <si>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</si>
  <si>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</si>
  <si>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</si>
  <si>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</si>
  <si>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</si>
  <si>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</si>
  <si>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</si>
  <si>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</si>
  <si>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</si>
  <si>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</si>
  <si>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</si>
  <si>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</si>
  <si>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</si>
  <si>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</si>
  <si>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</si>
  <si>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</si>
  <si>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</si>
  <si>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</si>
  <si>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</si>
  <si>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</si>
  <si>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</si>
  <si>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</si>
  <si>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</si>
  <si>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</si>
  <si>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</si>
  <si>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</si>
  <si>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</si>
  <si>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</si>
  <si>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</si>
  <si>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</si>
  <si>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</si>
  <si>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</si>
  <si>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</si>
  <si>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</si>
  <si>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</si>
  <si>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</si>
  <si>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</si>
  <si>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</si>
  <si>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</si>
  <si>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</si>
  <si>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</si>
  <si>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</si>
  <si>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</si>
  <si>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</si>
  <si>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</si>
  <si>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</si>
  <si>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</si>
  <si>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</si>
  <si>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</si>
  <si>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</si>
  <si>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</si>
  <si>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</si>
  <si>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</si>
  <si>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</si>
  <si>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</si>
  <si>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</si>
  <si>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</si>
  <si>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</si>
  <si>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</si>
  <si>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</si>
  <si>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</si>
  <si>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</si>
  <si>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</si>
  <si>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</si>
  <si>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</si>
  <si>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</si>
  <si>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</si>
  <si>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</si>
  <si>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</si>
  <si>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</si>
  <si>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</si>
  <si>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</si>
  <si>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</si>
  <si>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</si>
  <si>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</si>
  <si>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</si>
  <si>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</si>
  <si>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</si>
  <si>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</si>
  <si>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</si>
  <si>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</si>
  <si>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</si>
  <si>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</si>
  <si>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</si>
  <si>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</si>
  <si>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</si>
  <si>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</si>
  <si>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</si>
  <si>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</si>
  <si>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</si>
  <si>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</si>
  <si>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</si>
  <si>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</si>
  <si>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</si>
  <si>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</si>
  <si>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</si>
  <si>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</si>
  <si>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</si>
  <si>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</si>
  <si>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</si>
  <si>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</si>
  <si>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</si>
  <si>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</si>
  <si>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</si>
  <si>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</si>
  <si>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</si>
  <si>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</si>
  <si>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</si>
  <si>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</si>
  <si>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</si>
  <si>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</si>
  <si>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</si>
  <si>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</si>
  <si>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</si>
  <si>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</si>
  <si>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</si>
  <si>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</si>
  <si>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</si>
  <si>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</si>
  <si>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</si>
  <si>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</si>
  <si>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</si>
  <si>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</si>
  <si>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</si>
  <si>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</si>
  <si>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</si>
  <si>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</si>
  <si>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</si>
  <si>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</si>
  <si>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</si>
  <si>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</si>
  <si>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</si>
  <si>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</si>
  <si>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</si>
  <si>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</si>
  <si>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</si>
  <si>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</si>
  <si>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</si>
  <si>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</si>
  <si>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</si>
  <si>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</si>
  <si>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</si>
  <si>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</si>
  <si>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</si>
  <si>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</si>
  <si>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</si>
  <si>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</si>
  <si>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</si>
  <si>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</si>
  <si>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</si>
  <si>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</si>
  <si>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</si>
  <si>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</si>
  <si>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</si>
  <si>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</si>
  <si>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</si>
  <si>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</si>
  <si>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</si>
  <si>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</si>
  <si>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</si>
  <si>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</si>
  <si>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</si>
  <si>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</si>
  <si>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</si>
  <si>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</si>
  <si>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</si>
  <si>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</si>
  <si>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</si>
  <si>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</si>
  <si>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</si>
  <si>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</si>
  <si>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</si>
  <si>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</si>
  <si>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</si>
  <si>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</si>
  <si>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</si>
  <si>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</si>
  <si>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</si>
  <si>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</si>
  <si>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</si>
  <si>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</si>
  <si>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</si>
  <si>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</si>
  <si>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</si>
  <si>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</si>
  <si>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</si>
  <si>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</si>
  <si>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</si>
  <si>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</si>
  <si>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</si>
  <si>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</si>
  <si>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</si>
  <si>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</si>
  <si>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</si>
  <si>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</si>
  <si>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</si>
  <si>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</si>
  <si>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</si>
  <si>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</si>
  <si>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</si>
  <si>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</si>
  <si>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</si>
  <si>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</si>
  <si>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</si>
  <si>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</si>
  <si>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</si>
  <si>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</si>
  <si>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</si>
  <si>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</si>
  <si>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</si>
  <si>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</si>
  <si>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</si>
  <si>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</si>
  <si>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</si>
  <si>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</si>
  <si>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</si>
  <si>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</si>
  <si>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</si>
  <si>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</si>
  <si>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</si>
  <si>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</si>
  <si>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</si>
  <si>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</si>
  <si>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</si>
  <si>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</si>
  <si>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</si>
  <si>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</si>
  <si>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</si>
  <si>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</si>
  <si>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</si>
  <si>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</si>
  <si>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</si>
  <si>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</si>
  <si>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</si>
  <si>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</si>
  <si>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</si>
  <si>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</si>
  <si>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</si>
  <si>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</si>
  <si>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</si>
  <si>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</si>
  <si>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</si>
  <si>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</si>
  <si>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</si>
  <si>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</si>
  <si>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</si>
  <si>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</si>
  <si>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</si>
  <si>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</si>
  <si>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</si>
  <si>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</si>
  <si>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</si>
  <si>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</si>
  <si>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</si>
  <si>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</si>
  <si>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</si>
  <si>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</si>
  <si>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</si>
  <si>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</si>
  <si>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</si>
  <si>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</si>
  <si>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</si>
  <si>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</si>
  <si>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</si>
  <si>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</si>
  <si>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</si>
  <si>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</si>
  <si>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</si>
  <si>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</si>
  <si>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</si>
  <si>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</si>
  <si>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</si>
  <si>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</si>
  <si>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</si>
  <si>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</si>
  <si>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</si>
  <si>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</si>
  <si>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</si>
  <si>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</si>
  <si>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</si>
  <si>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</si>
  <si>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</si>
  <si>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</si>
  <si>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Soma de EA Play Season Pass</t>
  </si>
  <si>
    <t>Soma de Minecraft Season Pass Price</t>
  </si>
  <si>
    <t>Calculation period: 01/01/2024 - 31/12/2024 | Update date: 25/12/2024 09:00:00</t>
  </si>
  <si>
    <t xml:space="preserve">      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</si>
</sst>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22C55E"/>
      <name val="Segoe UI"/>
      <family val="2"/>
    </font>
    <font>
      <b/>
      <sz val="18"/>
      <color rgb="FF22C55E"/>
      <name val="Segoe UI"/>
      <family val="2"/>
    </font>
    <font>
      <b/>
      <sz val="12"/>
      <color theme="0"/>
      <name val="Segoe UI"/>
      <family val="2"/>
    </font>
    <font>
      <sz val="12"/>
      <color rgb="FF7F7F7F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  <xf numFmtId="44" fontId="0" fillId="0" borderId="0" xfId="2" applyFont="1"/>
    <xf numFmtId="0" fontId="1" fillId="0" borderId="2" xfId="1" applyBorder="1" applyAlignment="1">
      <alignment vertical="center"/>
    </xf>
    <xf numFmtId="0" fontId="4" fillId="0" borderId="0" xfId="1" applyFont="1" applyBorder="1" applyAlignment="1">
      <alignment vertical="center"/>
    </xf>
    <xf numFmtId="0" fontId="1" fillId="0" borderId="0" xfId="1" applyBorder="1" applyAlignment="1">
      <alignment vertical="center"/>
    </xf>
    <xf numFmtId="0" fontId="5" fillId="0" borderId="2" xfId="1" applyFont="1" applyBorder="1" applyAlignment="1">
      <alignment vertical="center"/>
    </xf>
    <xf numFmtId="0" fontId="0" fillId="4" borderId="3" xfId="0" applyFill="1" applyBorder="1"/>
    <xf numFmtId="0" fontId="6" fillId="4" borderId="3" xfId="0" applyFont="1" applyFill="1" applyBorder="1" applyAlignment="1">
      <alignment horizontal="center"/>
    </xf>
    <xf numFmtId="0" fontId="7" fillId="7" borderId="0" xfId="0" applyFont="1" applyFill="1" applyAlignment="1">
      <alignment horizontal="left" vertical="center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  <name val="Segoe UI"/>
        <family val="2"/>
        <scheme val="none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3 2" pivot="0" table="0" count="10" xr9:uid="{B22C8893-1117-4D57-BA2E-01B93B3134C6}">
      <tableStyleElement type="wholeTable" dxfId="15"/>
      <tableStyleElement type="headerRow" dxfId="14"/>
    </tableStyle>
  </tableStyles>
  <colors>
    <mruColors>
      <color rgb="FFE8E6E9"/>
      <color rgb="FF22C55E"/>
      <color rgb="FF5BF6A8"/>
      <color rgb="FF2AE6B1"/>
      <color rgb="FFFFFF00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dados.xlsx]C̳álculos!tbl_annual_total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1358721339242884E-2"/>
                  <c:h val="6.9260273972602746E-2"/>
                </c:manualLayout>
              </c15:layout>
            </c:ext>
          </c:extLst>
        </c:dLbl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66-471F-BD5F-0C63E15340A9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66-471F-BD5F-0C63E15340A9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358721339242884E-2"/>
                      <c:h val="6.926027397260274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D66-471F-BD5F-0C63E15340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66-471F-BD5F-0C63E1534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6326040"/>
        <c:axId val="696327120"/>
      </c:barChart>
      <c:catAx>
        <c:axId val="696326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696327120"/>
        <c:crosses val="autoZero"/>
        <c:auto val="1"/>
        <c:lblAlgn val="ctr"/>
        <c:lblOffset val="100"/>
        <c:noMultiLvlLbl val="0"/>
      </c:catAx>
      <c:valAx>
        <c:axId val="69632712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96326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390525</xdr:colOff>
      <xdr:row>0</xdr:row>
      <xdr:rowOff>104775</xdr:rowOff>
    </xdr:from>
    <xdr:to>
      <xdr:col>0</xdr:col>
      <xdr:colOff>1590675</xdr:colOff>
      <xdr:row>6</xdr:row>
      <xdr:rowOff>66675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9FA8B35D-28EA-7A7D-E1F5-0489BA6F7F32}"/>
            </a:ext>
          </a:extLst>
        </xdr:cNvPr>
        <xdr:cNvSpPr/>
      </xdr:nvSpPr>
      <xdr:spPr>
        <a:xfrm>
          <a:off x="390525" y="104775"/>
          <a:ext cx="1200150" cy="1200150"/>
        </a:xfrm>
        <a:prstGeom prst="ellipse">
          <a:avLst/>
        </a:prstGeom>
        <a:solidFill>
          <a:srgbClr val="5BF6A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2085975</xdr:colOff>
      <xdr:row>0</xdr:row>
      <xdr:rowOff>0</xdr:rowOff>
    </xdr:from>
    <xdr:to>
      <xdr:col>3</xdr:col>
      <xdr:colOff>428625</xdr:colOff>
      <xdr:row>4</xdr:row>
      <xdr:rowOff>20605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3993807-54A0-48CA-9DDD-1B2FA9B4A3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83" t="20587" r="71868" b="23656"/>
        <a:stretch>
          <a:fillRect/>
        </a:stretch>
      </xdr:blipFill>
      <xdr:spPr>
        <a:xfrm>
          <a:off x="2085975" y="0"/>
          <a:ext cx="1047750" cy="887380"/>
        </a:xfrm>
        <a:prstGeom prst="rect">
          <a:avLst/>
        </a:prstGeom>
      </xdr:spPr>
    </xdr:pic>
    <xdr:clientData/>
  </xdr:twoCellAnchor>
  <xdr:twoCellAnchor editAs="absolute">
    <xdr:from>
      <xdr:col>0</xdr:col>
      <xdr:colOff>28574</xdr:colOff>
      <xdr:row>10</xdr:row>
      <xdr:rowOff>28576</xdr:rowOff>
    </xdr:from>
    <xdr:to>
      <xdr:col>0</xdr:col>
      <xdr:colOff>2095500</xdr:colOff>
      <xdr:row>17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37DA03B8-8310-4AA2-9580-071D3CA6EB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4" y="2314576"/>
              <a:ext cx="2066926" cy="12752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304799</xdr:colOff>
      <xdr:row>6</xdr:row>
      <xdr:rowOff>257175</xdr:rowOff>
    </xdr:from>
    <xdr:to>
      <xdr:col>12</xdr:col>
      <xdr:colOff>246352</xdr:colOff>
      <xdr:row>16</xdr:row>
      <xdr:rowOff>74476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D0662C6C-0A9D-B8E3-14A5-7670C8A9B7F3}"/>
            </a:ext>
          </a:extLst>
        </xdr:cNvPr>
        <xdr:cNvGrpSpPr/>
      </xdr:nvGrpSpPr>
      <xdr:grpSpPr>
        <a:xfrm>
          <a:off x="2650066" y="1501775"/>
          <a:ext cx="5614219" cy="1976301"/>
          <a:chOff x="2609849" y="1228725"/>
          <a:chExt cx="5886451" cy="1865176"/>
        </a:xfrm>
      </xdr:grpSpPr>
      <xdr:sp macro="" textlink="C̳álculos!E21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0988E217-A897-4570-A812-268957E10D60}"/>
              </a:ext>
            </a:extLst>
          </xdr:cNvPr>
          <xdr:cNvSpPr/>
        </xdr:nvSpPr>
        <xdr:spPr>
          <a:xfrm>
            <a:off x="2609849" y="1238250"/>
            <a:ext cx="5886451" cy="164782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endParaRPr lang="pt-BR" sz="40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7" name="Imagem 6">
            <a:extLst>
              <a:ext uri="{FF2B5EF4-FFF2-40B4-BE49-F238E27FC236}">
                <a16:creationId xmlns:a16="http://schemas.microsoft.com/office/drawing/2014/main" id="{90833E53-BF72-4806-8BE9-D6EA7EC392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28949" y="1390651"/>
            <a:ext cx="1781176" cy="1703250"/>
          </a:xfrm>
          <a:prstGeom prst="rect">
            <a:avLst/>
          </a:prstGeom>
        </xdr:spPr>
      </xdr:pic>
      <xdr:sp macro="" textlink="">
        <xdr:nvSpPr>
          <xdr:cNvPr id="8" name="Retângulo: Cantos Diagonais Arredondados 7">
            <a:extLst>
              <a:ext uri="{FF2B5EF4-FFF2-40B4-BE49-F238E27FC236}">
                <a16:creationId xmlns:a16="http://schemas.microsoft.com/office/drawing/2014/main" id="{C778ABA8-6DEC-EA33-F0D3-F7BCA31C5A23}"/>
              </a:ext>
            </a:extLst>
          </xdr:cNvPr>
          <xdr:cNvSpPr/>
        </xdr:nvSpPr>
        <xdr:spPr>
          <a:xfrm>
            <a:off x="2609850" y="1228725"/>
            <a:ext cx="5886450" cy="466725"/>
          </a:xfrm>
          <a:prstGeom prst="round2DiagRect">
            <a:avLst>
              <a:gd name="adj1" fmla="val 50000"/>
              <a:gd name="adj2" fmla="val 0"/>
            </a:avLst>
          </a:prstGeom>
          <a:solidFill>
            <a:srgbClr val="5BF6A8"/>
          </a:solidFill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400" b="1" baseline="0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EA PLAY SEASON PASS</a:t>
            </a:r>
            <a:endParaRPr lang="pt-BR" sz="1400" b="1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E21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956FDF26-212E-4C58-95FD-49E0C5564F66}"/>
              </a:ext>
            </a:extLst>
          </xdr:cNvPr>
          <xdr:cNvSpPr/>
        </xdr:nvSpPr>
        <xdr:spPr>
          <a:xfrm>
            <a:off x="4924425" y="1580289"/>
            <a:ext cx="3238501" cy="132397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CFD09598-1DA6-498E-93EF-B6500CDF3518}" type="TxLink">
              <a:rPr lang="en-US" sz="40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r"/>
              <a:t>R$ 990,00</a:t>
            </a:fld>
            <a:endParaRPr lang="pt-BR" sz="4000" b="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12</xdr:col>
      <xdr:colOff>483620</xdr:colOff>
      <xdr:row>6</xdr:row>
      <xdr:rowOff>257175</xdr:rowOff>
    </xdr:from>
    <xdr:to>
      <xdr:col>22</xdr:col>
      <xdr:colOff>56780</xdr:colOff>
      <xdr:row>15</xdr:row>
      <xdr:rowOff>65814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6894E567-207D-63C0-6965-C896810BE8A5}"/>
            </a:ext>
          </a:extLst>
        </xdr:cNvPr>
        <xdr:cNvGrpSpPr/>
      </xdr:nvGrpSpPr>
      <xdr:grpSpPr>
        <a:xfrm>
          <a:off x="8501553" y="1501775"/>
          <a:ext cx="5669160" cy="1781372"/>
          <a:chOff x="8782049" y="1228725"/>
          <a:chExt cx="5886451" cy="1675539"/>
        </a:xfrm>
      </xdr:grpSpPr>
      <xdr:sp macro="" textlink="C̳álculos!E21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FCC395F8-7301-9B60-9317-281B0FECD1D0}"/>
              </a:ext>
            </a:extLst>
          </xdr:cNvPr>
          <xdr:cNvSpPr/>
        </xdr:nvSpPr>
        <xdr:spPr>
          <a:xfrm>
            <a:off x="8782049" y="1238250"/>
            <a:ext cx="5886451" cy="164782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endParaRPr lang="pt-BR" sz="40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4" name="Retângulo: Cantos Diagonais Arredondados 13">
            <a:extLst>
              <a:ext uri="{FF2B5EF4-FFF2-40B4-BE49-F238E27FC236}">
                <a16:creationId xmlns:a16="http://schemas.microsoft.com/office/drawing/2014/main" id="{CB1711DB-4CA1-E0AA-3B4A-D6D89EF5DD39}"/>
              </a:ext>
            </a:extLst>
          </xdr:cNvPr>
          <xdr:cNvSpPr/>
        </xdr:nvSpPr>
        <xdr:spPr>
          <a:xfrm>
            <a:off x="8782050" y="1228725"/>
            <a:ext cx="5886450" cy="466725"/>
          </a:xfrm>
          <a:prstGeom prst="round2DiagRect">
            <a:avLst>
              <a:gd name="adj1" fmla="val 50000"/>
              <a:gd name="adj2" fmla="val 0"/>
            </a:avLst>
          </a:prstGeom>
          <a:solidFill>
            <a:srgbClr val="5BF6A8"/>
          </a:solidFill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400" b="1" baseline="0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MINECRAFT SEASON PASS</a:t>
            </a:r>
            <a:endParaRPr lang="pt-BR" sz="1400" b="1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E31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C42955B1-16AD-4CBB-9A0D-B6F840344DA9}"/>
              </a:ext>
            </a:extLst>
          </xdr:cNvPr>
          <xdr:cNvSpPr/>
        </xdr:nvSpPr>
        <xdr:spPr>
          <a:xfrm>
            <a:off x="11096625" y="1580289"/>
            <a:ext cx="3238501" cy="132397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35081562-F7EA-4E96-A178-8F09EE988A37}" type="TxLink">
              <a:rPr lang="en-US" sz="40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r"/>
              <a:t> R$ 1.140,00 </a:t>
            </a:fld>
            <a:endParaRPr lang="pt-BR" sz="4000" b="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2B1FEC31-CBA0-4B33-B649-4F952EE983E5}"/>
              </a:ext>
            </a:extLst>
          </xdr:cNvPr>
          <xdr:cNvGrpSpPr/>
        </xdr:nvGrpSpPr>
        <xdr:grpSpPr>
          <a:xfrm>
            <a:off x="9191625" y="1813651"/>
            <a:ext cx="1695450" cy="857250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42C5A3E7-BE57-D57F-6D2D-45EADFBC2EB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D2710F17-C580-247B-842F-C9D2796D38F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314323</xdr:colOff>
      <xdr:row>16</xdr:row>
      <xdr:rowOff>47625</xdr:rowOff>
    </xdr:from>
    <xdr:to>
      <xdr:col>22</xdr:col>
      <xdr:colOff>84667</xdr:colOff>
      <xdr:row>38</xdr:row>
      <xdr:rowOff>19049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19057794-8541-9534-88F4-545DA89B5D35}"/>
            </a:ext>
          </a:extLst>
        </xdr:cNvPr>
        <xdr:cNvGrpSpPr/>
      </xdr:nvGrpSpPr>
      <xdr:grpSpPr>
        <a:xfrm>
          <a:off x="2659590" y="3451225"/>
          <a:ext cx="11539010" cy="4069291"/>
          <a:chOff x="2647948" y="3248025"/>
          <a:chExt cx="11950498" cy="3952874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6BC0591D-ED88-BCAB-3DD5-ACA2E8B756BF}"/>
              </a:ext>
            </a:extLst>
          </xdr:cNvPr>
          <xdr:cNvSpPr/>
        </xdr:nvSpPr>
        <xdr:spPr>
          <a:xfrm>
            <a:off x="2647949" y="3248025"/>
            <a:ext cx="11946256" cy="3952874"/>
          </a:xfrm>
          <a:prstGeom prst="roundRect">
            <a:avLst>
              <a:gd name="adj" fmla="val 895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BA435D6D-9786-4A56-A3CF-36AD3185DD45}"/>
              </a:ext>
            </a:extLst>
          </xdr:cNvPr>
          <xdr:cNvGraphicFramePr>
            <a:graphicFrameLocks/>
          </xdr:cNvGraphicFramePr>
        </xdr:nvGraphicFramePr>
        <xdr:xfrm>
          <a:off x="2876551" y="3676650"/>
          <a:ext cx="11591925" cy="34766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2" name="Retângulo: Cantos Diagonais Arredondados 21">
            <a:extLst>
              <a:ext uri="{FF2B5EF4-FFF2-40B4-BE49-F238E27FC236}">
                <a16:creationId xmlns:a16="http://schemas.microsoft.com/office/drawing/2014/main" id="{C56E51C4-8E0C-4374-A8DF-E2BDB4525144}"/>
              </a:ext>
            </a:extLst>
          </xdr:cNvPr>
          <xdr:cNvSpPr/>
        </xdr:nvSpPr>
        <xdr:spPr>
          <a:xfrm>
            <a:off x="2647948" y="3248026"/>
            <a:ext cx="11950498" cy="523874"/>
          </a:xfrm>
          <a:prstGeom prst="round2DiagRect">
            <a:avLst>
              <a:gd name="adj1" fmla="val 50000"/>
              <a:gd name="adj2" fmla="val 0"/>
            </a:avLst>
          </a:prstGeom>
          <a:solidFill>
            <a:srgbClr val="5BF6A8"/>
          </a:solidFill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400" b="1" baseline="0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XBOX GAME PASS</a:t>
            </a:r>
            <a:endParaRPr lang="pt-BR" sz="1400" b="1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466109</xdr:colOff>
      <xdr:row>1</xdr:row>
      <xdr:rowOff>0</xdr:rowOff>
    </xdr:from>
    <xdr:to>
      <xdr:col>0</xdr:col>
      <xdr:colOff>1515092</xdr:colOff>
      <xdr:row>5</xdr:row>
      <xdr:rowOff>228600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88779AFB-3B99-443D-A1F7-D434AC5432C0}"/>
            </a:ext>
          </a:extLst>
        </xdr:cNvPr>
        <xdr:cNvSpPr/>
      </xdr:nvSpPr>
      <xdr:spPr>
        <a:xfrm>
          <a:off x="466109" y="180975"/>
          <a:ext cx="1048983" cy="104775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257175</xdr:colOff>
      <xdr:row>6</xdr:row>
      <xdr:rowOff>295275</xdr:rowOff>
    </xdr:from>
    <xdr:to>
      <xdr:col>0</xdr:col>
      <xdr:colOff>1809750</xdr:colOff>
      <xdr:row>7</xdr:row>
      <xdr:rowOff>123825</xdr:rowOff>
    </xdr:to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A0E45ADF-F59E-37BD-3BF3-D84DB584424F}"/>
            </a:ext>
          </a:extLst>
        </xdr:cNvPr>
        <xdr:cNvSpPr txBox="1"/>
      </xdr:nvSpPr>
      <xdr:spPr>
        <a:xfrm>
          <a:off x="257175" y="1533525"/>
          <a:ext cx="155257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Welcome, Vitória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ória Mesquita" refreshedDate="46157.674123842589" createdVersion="8" refreshedVersion="8" minRefreshableVersion="3" recordCount="293" xr:uid="{92D3B8F5-3D5D-4A14-B336-C6452C97BC32}">
  <cacheSource type="worksheet">
    <worksheetSource ref="A1:M294" sheet="B̳ases"/>
  </cacheSource>
  <cacheFields count="13">
    <cacheField name="Subscriber ID" numFmtId="0">
      <sharedItems containsSemiMixedTypes="0" containsString="0" containsNumber="1" containsInteger="1" minValue="3231" maxValue="3523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5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272456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94E69C-A6B7-4143-B45F-07835076BB78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7:C31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F2763C-270F-437C-8810-C6FF36059408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8:C22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1CA6E-82F9-4531-9BEF-9D7F06F53143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0:C13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1D4FEBD-5CB2-4E37-B443-642C27E9E616}" sourceName="Subscription Type">
  <pivotTables>
    <pivotTable tabId="3" name="tbl_annual_total"/>
    <pivotTable tabId="3" name="tbl_easeasonpass_total"/>
    <pivotTable tabId="3" name="Tabela dinâmica3"/>
  </pivotTables>
  <data>
    <tabular pivotCacheId="1427245629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286956E-9EE9-4B91-976D-C9BCB2040A86}" cache="SegmentaçãodeDados_Subscription_Type" caption="Subscription Type" style="SlicerStyleLight3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0" zoomScaleNormal="100" workbookViewId="0">
      <selection activeCell="E31" sqref="E31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14" zoomScale="90" zoomScaleNormal="90" workbookViewId="0">
      <selection activeCell="E31" sqref="E31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8:E31"/>
  <sheetViews>
    <sheetView showGridLines="0" topLeftCell="A7" workbookViewId="0">
      <selection activeCell="E31" sqref="E31"/>
    </sheetView>
  </sheetViews>
  <sheetFormatPr defaultRowHeight="14.4" x14ac:dyDescent="0.3"/>
  <cols>
    <col min="2" max="2" width="16.77734375" bestFit="1" customWidth="1"/>
    <col min="3" max="4" width="32.21875" bestFit="1" customWidth="1"/>
    <col min="5" max="5" width="13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8" spans="2:3" x14ac:dyDescent="0.3">
      <c r="B8" s="12" t="s">
        <v>16</v>
      </c>
      <c r="C8" t="s">
        <v>27</v>
      </c>
    </row>
    <row r="10" spans="2:3" x14ac:dyDescent="0.3">
      <c r="B10" s="12" t="s">
        <v>313</v>
      </c>
      <c r="C10" t="s">
        <v>315</v>
      </c>
    </row>
    <row r="11" spans="2:3" x14ac:dyDescent="0.3">
      <c r="B11" s="13" t="s">
        <v>23</v>
      </c>
      <c r="C11" s="14">
        <v>806</v>
      </c>
    </row>
    <row r="12" spans="2:3" x14ac:dyDescent="0.3">
      <c r="B12" s="13" t="s">
        <v>19</v>
      </c>
      <c r="C12" s="14">
        <v>1502</v>
      </c>
    </row>
    <row r="13" spans="2:3" x14ac:dyDescent="0.3">
      <c r="B13" s="13" t="s">
        <v>314</v>
      </c>
      <c r="C13" s="14">
        <v>2308</v>
      </c>
    </row>
    <row r="16" spans="2:3" x14ac:dyDescent="0.3">
      <c r="B16" s="12" t="s">
        <v>16</v>
      </c>
      <c r="C16" t="s">
        <v>27</v>
      </c>
    </row>
    <row r="18" spans="2:5" x14ac:dyDescent="0.3">
      <c r="B18" s="12" t="s">
        <v>313</v>
      </c>
      <c r="C18" t="s">
        <v>316</v>
      </c>
    </row>
    <row r="19" spans="2:5" x14ac:dyDescent="0.3">
      <c r="B19" s="13" t="s">
        <v>22</v>
      </c>
      <c r="C19">
        <v>0</v>
      </c>
    </row>
    <row r="20" spans="2:5" x14ac:dyDescent="0.3">
      <c r="B20" s="13" t="s">
        <v>26</v>
      </c>
      <c r="C20">
        <v>0</v>
      </c>
    </row>
    <row r="21" spans="2:5" x14ac:dyDescent="0.3">
      <c r="B21" s="13" t="s">
        <v>18</v>
      </c>
      <c r="C21">
        <v>990</v>
      </c>
      <c r="E21" s="15">
        <f>GETPIVOTDATA("EA Play Season Pass
Price",$B$18,"Plan","Ultimate")</f>
        <v>990</v>
      </c>
    </row>
    <row r="22" spans="2:5" x14ac:dyDescent="0.3">
      <c r="B22" s="13" t="s">
        <v>314</v>
      </c>
      <c r="C22">
        <v>990</v>
      </c>
    </row>
    <row r="25" spans="2:5" x14ac:dyDescent="0.3">
      <c r="B25" s="12" t="s">
        <v>16</v>
      </c>
      <c r="C25" t="s">
        <v>27</v>
      </c>
    </row>
    <row r="27" spans="2:5" x14ac:dyDescent="0.3">
      <c r="B27" s="12" t="s">
        <v>313</v>
      </c>
      <c r="C27" t="s">
        <v>317</v>
      </c>
    </row>
    <row r="28" spans="2:5" x14ac:dyDescent="0.3">
      <c r="B28" s="13" t="s">
        <v>22</v>
      </c>
      <c r="C28" s="14">
        <v>0</v>
      </c>
    </row>
    <row r="29" spans="2:5" x14ac:dyDescent="0.3">
      <c r="B29" s="13" t="s">
        <v>26</v>
      </c>
      <c r="C29" s="14">
        <v>480</v>
      </c>
    </row>
    <row r="30" spans="2:5" x14ac:dyDescent="0.3">
      <c r="B30" s="13" t="s">
        <v>18</v>
      </c>
      <c r="C30" s="14">
        <v>660</v>
      </c>
    </row>
    <row r="31" spans="2:5" x14ac:dyDescent="0.3">
      <c r="B31" s="13" t="s">
        <v>314</v>
      </c>
      <c r="C31" s="14">
        <v>1140</v>
      </c>
      <c r="E31" s="16">
        <f>GETPIVOTDATA("Minecraft Season Pass Price",$B$27)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W8"/>
  <sheetViews>
    <sheetView showGridLines="0" showRowColHeaders="0" tabSelected="1" zoomScale="90" zoomScaleNormal="90" workbookViewId="0">
      <selection activeCell="E6" sqref="E6"/>
    </sheetView>
  </sheetViews>
  <sheetFormatPr defaultRowHeight="14.4" x14ac:dyDescent="0.3"/>
  <cols>
    <col min="1" max="1" width="30.6640625" style="21" customWidth="1"/>
    <col min="2" max="2" width="3.5546875" style="7" customWidth="1"/>
    <col min="3" max="3" width="5.109375" style="7" customWidth="1"/>
    <col min="4" max="11" width="8.88671875" style="7"/>
    <col min="12" max="12" width="6.5546875" style="7" customWidth="1"/>
    <col min="13" max="22" width="8.88671875" style="7"/>
    <col min="23" max="23" width="4.109375" style="7" customWidth="1"/>
    <col min="24" max="16384" width="8.88671875" style="7"/>
  </cols>
  <sheetData>
    <row r="1" spans="1:23" customFormat="1" x14ac:dyDescent="0.3">
      <c r="A1" s="21"/>
    </row>
    <row r="2" spans="1:23" customFormat="1" ht="39" customHeight="1" thickBot="1" x14ac:dyDescent="0.35">
      <c r="A2" s="21"/>
      <c r="B2" s="18"/>
      <c r="C2" s="19"/>
      <c r="D2" s="20" t="s">
        <v>319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9"/>
    </row>
    <row r="3" spans="1:23" customFormat="1" ht="8.25" customHeight="1" thickTop="1" x14ac:dyDescent="0.3">
      <c r="A3" s="21"/>
    </row>
    <row r="4" spans="1:23" customFormat="1" ht="7.5" customHeight="1" x14ac:dyDescent="0.3">
      <c r="A4" s="21"/>
    </row>
    <row r="5" spans="1:23" ht="10.5" customHeight="1" x14ac:dyDescent="0.3"/>
    <row r="6" spans="1:23" ht="18.600000000000001" customHeight="1" x14ac:dyDescent="0.3">
      <c r="D6" s="23" t="s">
        <v>318</v>
      </c>
    </row>
    <row r="7" spans="1:23" ht="33" customHeight="1" x14ac:dyDescent="0.3"/>
    <row r="8" spans="1:23" ht="19.2" x14ac:dyDescent="0.45">
      <c r="A8" s="22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Vitória Mesquita</cp:lastModifiedBy>
  <dcterms:created xsi:type="dcterms:W3CDTF">2024-12-19T13:13:10Z</dcterms:created>
  <dcterms:modified xsi:type="dcterms:W3CDTF">2026-05-15T20:13:13Z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